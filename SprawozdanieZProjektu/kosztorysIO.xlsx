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ko\Downloads\"/>
    </mc:Choice>
  </mc:AlternateContent>
  <xr:revisionPtr revIDLastSave="0" documentId="13_ncr:1_{04D9C96B-98C0-47BA-907E-271FEE24E64E}" xr6:coauthVersionLast="47" xr6:coauthVersionMax="47" xr10:uidLastSave="{00000000-0000-0000-0000-000000000000}"/>
  <bookViews>
    <workbookView xWindow="-110" yWindow="-110" windowWidth="19420" windowHeight="11500" xr2:uid="{02E2C6F3-C6A7-4686-80A4-E623E326ADE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7" i="1" l="1"/>
  <c r="AD36" i="1"/>
  <c r="AD23" i="1"/>
  <c r="AD15" i="1"/>
  <c r="AD39" i="1"/>
  <c r="AD40" i="1"/>
  <c r="AD31" i="1"/>
  <c r="AD21" i="1"/>
  <c r="AD34" i="1"/>
  <c r="AD22" i="1"/>
  <c r="AD33" i="1"/>
  <c r="AD32" i="1"/>
  <c r="AD30" i="1"/>
  <c r="AD29" i="1"/>
  <c r="AD26" i="1"/>
  <c r="AD27" i="1"/>
  <c r="AD25" i="1"/>
  <c r="AD24" i="1"/>
  <c r="AD20" i="1"/>
  <c r="AD19" i="1"/>
  <c r="AD18" i="1"/>
  <c r="AD17" i="1"/>
  <c r="AD16" i="1"/>
  <c r="AD14" i="1"/>
  <c r="AD12" i="1"/>
  <c r="AD11" i="1" s="1"/>
  <c r="AD13" i="1"/>
  <c r="AD35" i="1" l="1"/>
  <c r="AD28" i="1"/>
  <c r="AD38" i="1"/>
  <c r="AD41" i="1"/>
</calcChain>
</file>

<file path=xl/sharedStrings.xml><?xml version="1.0" encoding="utf-8"?>
<sst xmlns="http://schemas.openxmlformats.org/spreadsheetml/2006/main" count="50" uniqueCount="45">
  <si>
    <t>Stawki Godzinowe</t>
  </si>
  <si>
    <t>Menedżer Projektu</t>
  </si>
  <si>
    <t>Programista</t>
  </si>
  <si>
    <t>Inżynier Systemowy</t>
  </si>
  <si>
    <t>Analityk</t>
  </si>
  <si>
    <t>PLN/h</t>
  </si>
  <si>
    <t>Numer Etapu</t>
  </si>
  <si>
    <t>Nazwa Etapu</t>
  </si>
  <si>
    <t>Koszt realizacji etapu (PLN)</t>
  </si>
  <si>
    <t>Projekt architektury systemu</t>
  </si>
  <si>
    <t>Analiza wymagań i procesów RCK</t>
  </si>
  <si>
    <t>Kosztorys projektu RCK</t>
  </si>
  <si>
    <t>Liczba godzin roboczych w tygodniu:</t>
  </si>
  <si>
    <t>Sporządzenie wytycznych</t>
  </si>
  <si>
    <t>Plan projektu</t>
  </si>
  <si>
    <t>Analiza wymagań i wizja na projekt</t>
  </si>
  <si>
    <t>Określenie zakresu modułów</t>
  </si>
  <si>
    <t>Opracowanie budżetu</t>
  </si>
  <si>
    <t>Analiza ryzyka</t>
  </si>
  <si>
    <t>Alokacja zasobów i przypisanie zadań w zespole</t>
  </si>
  <si>
    <t>Realizacja projektu</t>
  </si>
  <si>
    <t>Architektura i szkielet systemu (Pulpit główny, Baza dawców)</t>
  </si>
  <si>
    <t>Implementacja modułów</t>
  </si>
  <si>
    <t>Wdrożenie interfejsu i optymalizacja</t>
  </si>
  <si>
    <t>Dobór urządzeń</t>
  </si>
  <si>
    <t>Montaż i konfiguracja urządzeń</t>
  </si>
  <si>
    <t>Analiza techniczna</t>
  </si>
  <si>
    <t>Przeprowadzanie testów</t>
  </si>
  <si>
    <t>Testy jednostkowe systemu RCK</t>
  </si>
  <si>
    <t>Testy integracyjne modułów</t>
  </si>
  <si>
    <t>Testy akceptacyjne z personelem RCK</t>
  </si>
  <si>
    <t>Poprawki po testach akceptacyjnych</t>
  </si>
  <si>
    <t>Testy bezpieczeństwa i luk w zabezpieczeniach</t>
  </si>
  <si>
    <t>Symulacja awarii sprzętu i alertów z lodówek</t>
  </si>
  <si>
    <t>Szkolenia</t>
  </si>
  <si>
    <t>Podstawowa obsługa czujników magazynowych</t>
  </si>
  <si>
    <t>Obsługa rejestracji i wydań przez personel</t>
  </si>
  <si>
    <t>Wsparcie techniczne</t>
  </si>
  <si>
    <t>Wsparcie techniczne ds. infrastruktury i sieci</t>
  </si>
  <si>
    <t>Nadzór menadżerski i optymalizacja systemu</t>
  </si>
  <si>
    <t>Suma za etap:</t>
  </si>
  <si>
    <t>Okres realizacji w tygodniach</t>
  </si>
  <si>
    <t>Całkowity Koszt:</t>
  </si>
  <si>
    <t>1 komórka = 1 tydzień = 5 dni roboczych</t>
  </si>
  <si>
    <t>Do pracy nad projektem zatrudnianych jest dwóch programistów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</si>
</sst>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6"/>
      <color rgb="FF4239B7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6" borderId="4" xfId="0" applyFill="1" applyBorder="1" applyAlignment="1">
      <alignment horizontal="left"/>
    </xf>
    <xf numFmtId="0" fontId="0" fillId="7" borderId="2" xfId="0" applyFill="1" applyBorder="1"/>
    <xf numFmtId="0" fontId="0" fillId="0" borderId="0" xfId="0" applyAlignment="1">
      <alignment horizontal="right"/>
    </xf>
    <xf numFmtId="0" fontId="2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6" borderId="4" xfId="0" applyFill="1" applyBorder="1" applyAlignment="1"/>
    <xf numFmtId="0" fontId="0" fillId="7" borderId="1" xfId="0" applyFill="1" applyBorder="1" applyAlignment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423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1DFE-6BF8-4D83-BE6C-5995343D2099}">
  <dimension ref="B2:AG41"/>
  <sheetViews>
    <sheetView tabSelected="1" topLeftCell="A4" zoomScale="55" zoomScaleNormal="55" workbookViewId="0">
      <selection activeCell="AK27" sqref="AK27"/>
    </sheetView>
  </sheetViews>
  <sheetFormatPr defaultRowHeight="14.5" x14ac:dyDescent="0.35"/>
  <cols>
    <col min="2" max="2" width="11.26953125" bestFit="1" customWidth="1"/>
    <col min="3" max="3" width="57.08984375" bestFit="1" customWidth="1"/>
    <col min="4" max="29" width="3.453125" customWidth="1"/>
    <col min="30" max="30" width="23" bestFit="1" customWidth="1"/>
    <col min="31" max="31" width="8.36328125" customWidth="1"/>
    <col min="32" max="32" width="9.453125" customWidth="1"/>
    <col min="33" max="33" width="8.81640625" customWidth="1"/>
    <col min="34" max="34" width="7.26953125" customWidth="1"/>
  </cols>
  <sheetData>
    <row r="2" spans="2:30" x14ac:dyDescent="0.35">
      <c r="C2" s="24" t="s">
        <v>11</v>
      </c>
      <c r="G2" s="26" t="s">
        <v>0</v>
      </c>
      <c r="H2" s="26"/>
      <c r="I2" s="26"/>
      <c r="J2" s="26"/>
      <c r="K2" s="26"/>
      <c r="L2" s="26" t="s">
        <v>5</v>
      </c>
      <c r="M2" s="26"/>
    </row>
    <row r="3" spans="2:30" x14ac:dyDescent="0.35">
      <c r="C3" s="24"/>
      <c r="F3" s="1"/>
      <c r="G3" s="26" t="s">
        <v>1</v>
      </c>
      <c r="H3" s="26"/>
      <c r="I3" s="26"/>
      <c r="J3" s="26"/>
      <c r="K3" s="26"/>
      <c r="L3" s="26">
        <v>235</v>
      </c>
      <c r="M3" s="26"/>
    </row>
    <row r="4" spans="2:30" x14ac:dyDescent="0.35">
      <c r="C4" s="17" t="s">
        <v>12</v>
      </c>
      <c r="D4" s="5">
        <v>30</v>
      </c>
      <c r="F4" s="2"/>
      <c r="G4" s="26" t="s">
        <v>2</v>
      </c>
      <c r="H4" s="26"/>
      <c r="I4" s="26"/>
      <c r="J4" s="26"/>
      <c r="K4" s="26"/>
      <c r="L4" s="26">
        <v>207</v>
      </c>
      <c r="M4" s="26"/>
    </row>
    <row r="5" spans="2:30" x14ac:dyDescent="0.35">
      <c r="C5" s="17" t="s">
        <v>43</v>
      </c>
      <c r="F5" s="3"/>
      <c r="G5" s="26" t="s">
        <v>3</v>
      </c>
      <c r="H5" s="26"/>
      <c r="I5" s="26"/>
      <c r="J5" s="26"/>
      <c r="K5" s="26"/>
      <c r="L5" s="26">
        <v>176</v>
      </c>
      <c r="M5" s="26"/>
    </row>
    <row r="6" spans="2:30" x14ac:dyDescent="0.35">
      <c r="C6" s="17" t="s">
        <v>44</v>
      </c>
      <c r="F6" s="4"/>
      <c r="G6" s="26" t="s">
        <v>4</v>
      </c>
      <c r="H6" s="26"/>
      <c r="I6" s="26"/>
      <c r="J6" s="26"/>
      <c r="K6" s="26"/>
      <c r="L6" s="26">
        <v>158</v>
      </c>
      <c r="M6" s="26"/>
    </row>
    <row r="9" spans="2:30" x14ac:dyDescent="0.35">
      <c r="B9" s="22" t="s">
        <v>6</v>
      </c>
      <c r="C9" s="22" t="s">
        <v>7</v>
      </c>
      <c r="D9" s="28" t="s">
        <v>41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2" t="s">
        <v>8</v>
      </c>
    </row>
    <row r="10" spans="2:30" x14ac:dyDescent="0.35">
      <c r="B10" s="22"/>
      <c r="C10" s="22"/>
      <c r="D10" s="16">
        <v>1</v>
      </c>
      <c r="E10" s="16">
        <v>2</v>
      </c>
      <c r="F10" s="16">
        <v>3</v>
      </c>
      <c r="G10" s="16">
        <v>4</v>
      </c>
      <c r="H10" s="16">
        <v>5</v>
      </c>
      <c r="I10" s="16">
        <v>6</v>
      </c>
      <c r="J10" s="16">
        <v>7</v>
      </c>
      <c r="K10" s="16">
        <v>8</v>
      </c>
      <c r="L10" s="16">
        <v>9</v>
      </c>
      <c r="M10" s="16">
        <v>10</v>
      </c>
      <c r="N10" s="16">
        <v>11</v>
      </c>
      <c r="O10" s="16">
        <v>12</v>
      </c>
      <c r="P10" s="16">
        <v>13</v>
      </c>
      <c r="Q10" s="16">
        <v>14</v>
      </c>
      <c r="R10" s="16">
        <v>15</v>
      </c>
      <c r="S10" s="16">
        <v>16</v>
      </c>
      <c r="T10" s="16">
        <v>17</v>
      </c>
      <c r="U10" s="16">
        <v>18</v>
      </c>
      <c r="V10" s="16">
        <v>19</v>
      </c>
      <c r="W10" s="16">
        <v>20</v>
      </c>
      <c r="X10" s="16">
        <v>21</v>
      </c>
      <c r="Y10" s="16">
        <v>22</v>
      </c>
      <c r="Z10" s="16">
        <v>23</v>
      </c>
      <c r="AA10" s="16">
        <v>24</v>
      </c>
      <c r="AB10" s="16">
        <v>25</v>
      </c>
      <c r="AC10" s="16">
        <v>26</v>
      </c>
      <c r="AD10" s="23"/>
    </row>
    <row r="11" spans="2:30" x14ac:dyDescent="0.35">
      <c r="B11" s="15">
        <v>1</v>
      </c>
      <c r="C11" s="15" t="s">
        <v>15</v>
      </c>
      <c r="D11" s="27" t="s">
        <v>40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18">
        <f>SUM(AD12:AD14)</f>
        <v>23580</v>
      </c>
    </row>
    <row r="12" spans="2:30" x14ac:dyDescent="0.35">
      <c r="C12" s="6" t="s">
        <v>9</v>
      </c>
      <c r="D12" s="11"/>
      <c r="AD12" s="19">
        <f>PRODUCT(L3,D4)</f>
        <v>7050</v>
      </c>
    </row>
    <row r="13" spans="2:30" x14ac:dyDescent="0.35">
      <c r="C13" s="6" t="s">
        <v>10</v>
      </c>
      <c r="D13" s="10"/>
      <c r="E13" s="10"/>
      <c r="AD13" s="19">
        <f>PRODUCT(L6,D4,2)</f>
        <v>9480</v>
      </c>
    </row>
    <row r="14" spans="2:30" x14ac:dyDescent="0.35">
      <c r="C14" t="s">
        <v>13</v>
      </c>
      <c r="F14" s="11"/>
      <c r="AD14" s="19">
        <f>PRODUCT(L3,D4)</f>
        <v>7050</v>
      </c>
    </row>
    <row r="15" spans="2:30" x14ac:dyDescent="0.35">
      <c r="B15" s="15">
        <v>2</v>
      </c>
      <c r="C15" s="15" t="s">
        <v>14</v>
      </c>
      <c r="D15" s="27" t="s">
        <v>40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18">
        <f>SUM(AD16:AD22)</f>
        <v>39420</v>
      </c>
    </row>
    <row r="16" spans="2:30" x14ac:dyDescent="0.35">
      <c r="B16" s="26"/>
      <c r="C16" s="25" t="s">
        <v>16</v>
      </c>
      <c r="G16" s="8"/>
      <c r="AD16" s="19">
        <f>PRODUCT(L3,D4)</f>
        <v>7050</v>
      </c>
    </row>
    <row r="17" spans="2:30" x14ac:dyDescent="0.35">
      <c r="B17" s="26"/>
      <c r="C17" s="25"/>
      <c r="G17" s="9"/>
      <c r="AD17" s="19">
        <f>PRODUCT($L$5,$D$4)</f>
        <v>5280</v>
      </c>
    </row>
    <row r="18" spans="2:30" x14ac:dyDescent="0.35">
      <c r="C18" t="s">
        <v>26</v>
      </c>
      <c r="H18" s="9"/>
      <c r="AD18" s="19">
        <f>PRODUCT($L$5,$D$4)</f>
        <v>5280</v>
      </c>
    </row>
    <row r="19" spans="2:30" x14ac:dyDescent="0.35">
      <c r="C19" t="s">
        <v>17</v>
      </c>
      <c r="I19" s="10"/>
      <c r="AD19" s="19">
        <f>PRODUCT($L$6,$D$4)</f>
        <v>4740</v>
      </c>
    </row>
    <row r="20" spans="2:30" x14ac:dyDescent="0.35">
      <c r="C20" t="s">
        <v>18</v>
      </c>
      <c r="J20" s="10"/>
      <c r="AD20" s="19">
        <f>PRODUCT($L$6,$D$4)</f>
        <v>4740</v>
      </c>
    </row>
    <row r="21" spans="2:30" x14ac:dyDescent="0.35">
      <c r="C21" t="s">
        <v>19</v>
      </c>
      <c r="J21" s="11"/>
      <c r="AD21" s="19">
        <f>PRODUCT(L3,D4)</f>
        <v>7050</v>
      </c>
    </row>
    <row r="22" spans="2:30" x14ac:dyDescent="0.35">
      <c r="C22" t="s">
        <v>24</v>
      </c>
      <c r="K22" s="9"/>
      <c r="AD22" s="19">
        <f>PRODUCT($L$5,$D$4)</f>
        <v>5280</v>
      </c>
    </row>
    <row r="23" spans="2:30" x14ac:dyDescent="0.35">
      <c r="B23" s="15">
        <v>3</v>
      </c>
      <c r="C23" s="15" t="s">
        <v>20</v>
      </c>
      <c r="D23" s="27" t="s">
        <v>40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18">
        <f>SUM(AD24:AD27)</f>
        <v>66450</v>
      </c>
    </row>
    <row r="24" spans="2:30" x14ac:dyDescent="0.35">
      <c r="C24" t="s">
        <v>21</v>
      </c>
      <c r="L24" s="12"/>
      <c r="M24" s="12"/>
      <c r="AD24" s="19">
        <f>PRODUCT(L4,D4,2)</f>
        <v>12420</v>
      </c>
    </row>
    <row r="25" spans="2:30" x14ac:dyDescent="0.35">
      <c r="C25" t="s">
        <v>22</v>
      </c>
      <c r="N25" s="12"/>
      <c r="O25" s="12"/>
      <c r="P25" s="13"/>
      <c r="Q25" s="13"/>
      <c r="AD25" s="19">
        <f>PRODUCT(L4,D4,4)</f>
        <v>24840</v>
      </c>
    </row>
    <row r="26" spans="2:30" x14ac:dyDescent="0.35">
      <c r="C26" t="s">
        <v>23</v>
      </c>
      <c r="R26" s="12"/>
      <c r="S26" s="12"/>
      <c r="T26" s="12"/>
      <c r="AD26" s="19">
        <f>PRODUCT(L4,D4,3)</f>
        <v>18630</v>
      </c>
    </row>
    <row r="27" spans="2:30" x14ac:dyDescent="0.35">
      <c r="C27" t="s">
        <v>25</v>
      </c>
      <c r="S27" s="14"/>
      <c r="T27" s="14"/>
      <c r="AD27" s="19">
        <f>PRODUCT($L$5,$D$4,2)</f>
        <v>10560</v>
      </c>
    </row>
    <row r="28" spans="2:30" x14ac:dyDescent="0.35">
      <c r="B28" s="15">
        <v>4</v>
      </c>
      <c r="C28" s="15" t="s">
        <v>27</v>
      </c>
      <c r="D28" s="27" t="s">
        <v>40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18">
        <f>SUM(AD29:AD34)</f>
        <v>75270</v>
      </c>
    </row>
    <row r="29" spans="2:30" x14ac:dyDescent="0.35">
      <c r="C29" t="s">
        <v>28</v>
      </c>
      <c r="P29" s="12"/>
      <c r="Q29" s="12"/>
      <c r="R29" s="12"/>
      <c r="AD29" s="19">
        <f>PRODUCT(L4,D4,3)</f>
        <v>18630</v>
      </c>
    </row>
    <row r="30" spans="2:30" x14ac:dyDescent="0.35">
      <c r="C30" t="s">
        <v>29</v>
      </c>
      <c r="S30" s="12"/>
      <c r="T30" s="12"/>
      <c r="AD30" s="19">
        <f>PRODUCT(L4,D4,2)</f>
        <v>12420</v>
      </c>
    </row>
    <row r="31" spans="2:30" x14ac:dyDescent="0.35">
      <c r="C31" t="s">
        <v>30</v>
      </c>
      <c r="S31" s="11"/>
      <c r="T31" s="11"/>
      <c r="AD31" s="19">
        <f>PRODUCT(L3,D4,2)</f>
        <v>14100</v>
      </c>
    </row>
    <row r="32" spans="2:30" x14ac:dyDescent="0.35">
      <c r="C32" t="s">
        <v>31</v>
      </c>
      <c r="U32" s="12"/>
      <c r="V32" s="12"/>
      <c r="AD32" s="19">
        <f>PRODUCT(L4,D4,2)</f>
        <v>12420</v>
      </c>
    </row>
    <row r="33" spans="2:33" x14ac:dyDescent="0.35">
      <c r="C33" t="s">
        <v>32</v>
      </c>
      <c r="W33" s="12"/>
      <c r="X33" s="12"/>
      <c r="AD33" s="19">
        <f>PRODUCT(L4,D4,2)</f>
        <v>12420</v>
      </c>
    </row>
    <row r="34" spans="2:33" x14ac:dyDescent="0.35">
      <c r="C34" t="s">
        <v>33</v>
      </c>
      <c r="W34" s="14"/>
      <c r="AD34" s="19">
        <f>PRODUCT($L$5,$D$4)</f>
        <v>5280</v>
      </c>
    </row>
    <row r="35" spans="2:33" x14ac:dyDescent="0.35">
      <c r="B35" s="15">
        <v>5</v>
      </c>
      <c r="C35" s="15" t="s">
        <v>34</v>
      </c>
      <c r="D35" s="27" t="s">
        <v>40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18">
        <f>SUM(AD36:AD37)</f>
        <v>24660</v>
      </c>
    </row>
    <row r="36" spans="2:33" x14ac:dyDescent="0.35">
      <c r="C36" t="s">
        <v>35</v>
      </c>
      <c r="Y36" s="9"/>
      <c r="Z36" s="9"/>
      <c r="AD36" s="19">
        <f>PRODUCT($L$5,$D$4,2)</f>
        <v>10560</v>
      </c>
    </row>
    <row r="37" spans="2:33" x14ac:dyDescent="0.35">
      <c r="C37" t="s">
        <v>36</v>
      </c>
      <c r="Y37" s="11"/>
      <c r="Z37" s="11"/>
      <c r="AD37" s="19">
        <f>PRODUCT(L3,D4,2)</f>
        <v>14100</v>
      </c>
    </row>
    <row r="38" spans="2:33" x14ac:dyDescent="0.35">
      <c r="B38" s="15">
        <v>6</v>
      </c>
      <c r="C38" s="15" t="s">
        <v>37</v>
      </c>
      <c r="D38" s="27" t="s">
        <v>40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18">
        <f>SUM(AD39:AD40)</f>
        <v>36990</v>
      </c>
    </row>
    <row r="39" spans="2:33" x14ac:dyDescent="0.35">
      <c r="C39" t="s">
        <v>38</v>
      </c>
      <c r="AA39" s="9"/>
      <c r="AB39" s="9"/>
      <c r="AC39" s="9"/>
      <c r="AD39" s="19">
        <f>PRODUCT($L$5,$D$4,3)</f>
        <v>15840</v>
      </c>
    </row>
    <row r="40" spans="2:33" x14ac:dyDescent="0.35">
      <c r="B40" s="7"/>
      <c r="C40" s="7" t="s">
        <v>39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/>
      <c r="AB40" s="8"/>
      <c r="AC40" s="8"/>
      <c r="AD40" s="20">
        <f>PRODUCT(L3,D4,3)</f>
        <v>21150</v>
      </c>
    </row>
    <row r="41" spans="2:33" x14ac:dyDescent="0.35">
      <c r="B41" s="29" t="s">
        <v>42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1">
        <f>SUM(AD38,AD35,AD28,AD23,AD15,AD11)</f>
        <v>266370</v>
      </c>
      <c r="AF41" s="30"/>
      <c r="AG41" s="30"/>
    </row>
  </sheetData>
  <mergeCells count="16">
    <mergeCell ref="AD9:AD10"/>
    <mergeCell ref="C2:C3"/>
    <mergeCell ref="C16:C17"/>
    <mergeCell ref="B16:B17"/>
    <mergeCell ref="L3:M3"/>
    <mergeCell ref="L4:M4"/>
    <mergeCell ref="L5:M5"/>
    <mergeCell ref="L6:M6"/>
    <mergeCell ref="B9:B10"/>
    <mergeCell ref="C9:C10"/>
    <mergeCell ref="G3:K3"/>
    <mergeCell ref="G2:K2"/>
    <mergeCell ref="G5:K5"/>
    <mergeCell ref="G4:K4"/>
    <mergeCell ref="G6:K6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Kozłowski (117364)</dc:creator>
  <cp:lastModifiedBy>Jan Kozłowski (117364)</cp:lastModifiedBy>
  <dcterms:created xsi:type="dcterms:W3CDTF">2026-06-07T09:38:34Z</dcterms:created>
  <dcterms:modified xsi:type="dcterms:W3CDTF">2026-06-07T19:03:21Z</dcterms:modified>
</cp:coreProperties>
</file>